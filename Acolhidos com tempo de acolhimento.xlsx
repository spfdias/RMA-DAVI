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M01\pasta compartilhada\"/>
    </mc:Choice>
  </mc:AlternateContent>
  <xr:revisionPtr revIDLastSave="0" documentId="8_{28266361-0B68-4281-8CEE-437DCC500EDD}" xr6:coauthVersionLast="47" xr6:coauthVersionMax="47" xr10:uidLastSave="{00000000-0000-0000-0000-000000000000}"/>
  <bookViews>
    <workbookView xWindow="-108" yWindow="-108" windowWidth="23256" windowHeight="12456" xr2:uid="{956122EC-2C17-4758-80E7-19FF9CF821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  <c r="E2" i="1"/>
</calcChain>
</file>

<file path=xl/sharedStrings.xml><?xml version="1.0" encoding="utf-8"?>
<sst xmlns="http://schemas.openxmlformats.org/spreadsheetml/2006/main" count="93" uniqueCount="82">
  <si>
    <t xml:space="preserve">Nome </t>
  </si>
  <si>
    <t>Idade</t>
  </si>
  <si>
    <t>Data do acolhimento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</si>
  <si>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</si>
  <si>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 xml:space="preserve">Ana Beatriz Souza Da Silva Matos </t>
  </si>
  <si>
    <t>12 anos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</si>
  <si>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</si>
  <si>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Andressa Vitória Siqueira Quintana</t>
  </si>
  <si>
    <t>14 anos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</si>
  <si>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</si>
  <si>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Deysi Michele Da Silva Ribeiro</t>
  </si>
  <si>
    <t>2 anos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</si>
  <si>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</si>
  <si>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Gabrielle Eloá Ribas Ribeiro</t>
  </si>
  <si>
    <t>6 anos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</si>
  <si>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</si>
  <si>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Yngrid Vitória Dos Santos</t>
  </si>
  <si>
    <t>1 ano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</si>
  <si>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</si>
  <si>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Luana Trindade Rojas Pereira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</si>
  <si>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</si>
  <si>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Ludimila Benites Ribeiro</t>
  </si>
  <si>
    <t>17 anos</t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</si>
  <si>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</si>
  <si>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Sandriele Batista Isnarde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</si>
  <si>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 </t>
    </r>
  </si>
  <si>
    <t>Marta Pereira Da Silva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</si>
  <si>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</si>
  <si>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Emanuelly Beatriz Rodrigues Sampaio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</si>
  <si>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</si>
  <si>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Raphaella Matos Escobar</t>
  </si>
  <si>
    <t>16 anos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</si>
  <si>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</si>
  <si>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Thais Cabreira Benites</t>
  </si>
  <si>
    <t xml:space="preserve">17 anos 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</si>
  <si>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</si>
  <si>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Vitória Gabriela Silva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</si>
  <si>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</si>
  <si>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Cristóvão Braga Lopes</t>
  </si>
  <si>
    <t>15 anos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</si>
  <si>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</si>
  <si>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Nicholas Braga Lopes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</si>
  <si>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</si>
  <si>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Elias Ezequiel De Almeida Gimenes</t>
  </si>
  <si>
    <t>10 meses</t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</si>
  <si>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</si>
  <si>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Endrick Gabriel Ribas Ribeiro</t>
  </si>
  <si>
    <t>4 Meses</t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</si>
  <si>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</si>
  <si>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Luiz Miguel Rodrigues Sampaio</t>
  </si>
  <si>
    <t>3 anos</t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</si>
  <si>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</si>
  <si>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Everton Junior Arcanjo Da Silva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</si>
  <si>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</si>
  <si>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Luciano Ribas Ribeiro</t>
  </si>
  <si>
    <t>9 anos</t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</si>
  <si>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</si>
  <si>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Maykon Felix Arcanjo Da Silva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</si>
  <si>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</si>
  <si>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Moises de Sousa Dias</t>
  </si>
  <si>
    <t>10 anos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</si>
  <si>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</si>
  <si>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Kauan Menegarti Feitoza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</si>
  <si>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</si>
  <si>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Luan Menegarti Feitoza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</si>
  <si>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</si>
  <si>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Gustavo Menegarti Feitoza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</si>
  <si>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 </t>
    </r>
  </si>
  <si>
    <t>Daniel Soares dos Santos</t>
  </si>
  <si>
    <t xml:space="preserve">12 Anos </t>
  </si>
  <si>
    <t xml:space="preserve">Janeiro 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</si>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</sst>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2" fillId="0" borderId="1" xfId="0" applyFont="1" applyBorder="1" applyAlignment="1">
      <alignment horizontal="left" vertical="center" wrapText="1" indent="6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9FC6-E8B1-4F9E-BBC4-A56D37EEAFAB}">
  <dimension ref="A1:P29"/>
  <sheetViews>
    <sheetView tabSelected="1" zoomScale="85" zoomScaleNormal="85" workbookViewId="0">
      <selection activeCell="D24" sqref="D24"/>
    </sheetView>
  </sheetViews>
  <sheetFormatPr defaultRowHeight="16.05" customHeight="1" x14ac:dyDescent="0.3"/>
  <cols>
    <col min="1" max="1" width="11" bestFit="1" customWidth="1"/>
    <col min="2" max="2" width="35.5546875" style="1" bestFit="1" customWidth="1"/>
    <col min="3" max="3" width="12.109375" style="2" customWidth="1"/>
    <col min="4" max="4" width="21.33203125" style="2" bestFit="1" customWidth="1"/>
    <col min="5" max="6" width="15.6640625" bestFit="1" customWidth="1"/>
    <col min="7" max="7" width="14.6640625" bestFit="1" customWidth="1"/>
    <col min="8" max="8" width="14.77734375" bestFit="1" customWidth="1"/>
    <col min="9" max="9" width="15.6640625" bestFit="1" customWidth="1"/>
    <col min="10" max="10" width="16.6640625" customWidth="1"/>
    <col min="11" max="13" width="16.44140625" bestFit="1" customWidth="1"/>
    <col min="14" max="14" width="15.5546875" bestFit="1" customWidth="1"/>
    <col min="15" max="16" width="16.44140625" bestFit="1" customWidth="1"/>
  </cols>
  <sheetData>
    <row r="1" spans="1:16" ht="16.05" customHeight="1" x14ac:dyDescent="0.3">
      <c r="A1" s="3"/>
      <c r="B1" s="4" t="s">
        <v>0</v>
      </c>
      <c r="C1" s="5" t="s">
        <v>1</v>
      </c>
      <c r="D1" s="5" t="s">
        <v>2</v>
      </c>
      <c r="E1" s="6" t="s">
        <v>70</v>
      </c>
      <c r="F1" s="7" t="s">
        <v>71</v>
      </c>
      <c r="G1" s="8" t="s">
        <v>72</v>
      </c>
      <c r="H1" s="9" t="s">
        <v>73</v>
      </c>
      <c r="I1" s="10" t="s">
        <v>74</v>
      </c>
      <c r="J1" s="11" t="s">
        <v>75</v>
      </c>
      <c r="K1" s="12" t="s">
        <v>76</v>
      </c>
      <c r="L1" s="13" t="s">
        <v>77</v>
      </c>
      <c r="M1" s="14" t="s">
        <v>78</v>
      </c>
      <c r="N1" s="15" t="s">
        <v>79</v>
      </c>
      <c r="O1" s="16" t="s">
        <v>80</v>
      </c>
      <c r="P1" s="17" t="s">
        <v>81</v>
      </c>
    </row>
    <row r="2" spans="1:16" ht="16.05" customHeight="1" x14ac:dyDescent="0.3">
      <c r="A2" s="18" t="s">
        <v>3</v>
      </c>
      <c r="B2" s="19" t="s">
        <v>4</v>
      </c>
      <c r="C2" s="20" t="s">
        <v>5</v>
      </c>
      <c r="D2" s="21">
        <v>45894</v>
      </c>
      <c r="E2" s="6" t="str">
        <f>IF($D2="","",IF(DATE(2026,1,1)&lt;$D2,"",DATEDIF($D2,DATE(2026,1,1),"y")&amp;" ano"&amp;IF(DATEDIF($D2,DATE(2026,1,1),"y")&lt;&gt;1,"s","")&amp;IF(DATEDIF($D2,DATE(2026,1,1),"ym")&gt;0," e "&amp;DATEDIF($D2,DATE(2026,1,1),"ym")&amp;" mês"&amp;IF(DATEDIF($D2,DATE(2026,1,1),"ym")&lt;&gt;1,"es",""),"")))</f>
        <v>0 anos e 4 mêses</v>
      </c>
      <c r="F2" s="7" t="str">
        <f>IF($D2="","",IF(DATE(2026,2,1)&lt;$D2,"",DATEDIF($D2,DATE(2026,2,1),"y")&amp;" ano"&amp;IF(DATEDIF($D2,DATE(2026,2,1),"y")&lt;&gt;1,"s","")&amp;IF(DATEDIF($D2,DATE(2026,2,1),"ym")&gt;0," e "&amp;DATEDIF($D2,DATE(2026,2,1),"ym")&amp;" mês"&amp;IF(DATEDIF($D2,DATE(2026,2,1),"ym")&lt;&gt;1,"es",""),"")))</f>
        <v>0 anos e 5 mêses</v>
      </c>
      <c r="G2" s="8" t="str">
        <f>IF($D2="","",IF(DATE(2026,3,1)&lt;$D2,"",DATEDIF($D2,DATE(2026,3,1),"y")&amp;" ano"&amp;IF(DATEDIF($D2,DATE(2026,3,1),"y")&lt;&gt;1,"s","")&amp;IF(DATEDIF($D2,DATE(2026,3,1),"ym")&gt;0," e "&amp;DATEDIF($D2,DATE(2026,3,1),"ym")&amp;" mês"&amp;IF(DATEDIF($D2,DATE(2026,3,1),"ym")&lt;&gt;1,"es",""),"")))</f>
        <v>0 anos e 6 mêses</v>
      </c>
      <c r="H2" s="9" t="str">
        <f>IF($D2="","",IF(DATE(2026,4,1)&lt;$D2,"",DATEDIF($D2,DATE(2026,4,1),"y")&amp;" ano"&amp;IF(DATEDIF($D2,DATE(2026,4,1),"y")&lt;&gt;1,"s","")&amp;IF(DATEDIF($D2,DATE(2026,4,1),"ym")&gt;0," e "&amp;DATEDIF($D2,DATE(2026,4,1),"ym")&amp;" mês"&amp;IF(DATEDIF($D2,DATE(2026,4,1),"ym")&lt;&gt;1,"es",""),"")))</f>
        <v>0 anos e 7 mêses</v>
      </c>
      <c r="I2" s="10" t="str">
        <f>IF($D2="","",IF(DATE(2026,5,1)&lt;$D2,"",DATEDIF($D2,DATE(2026,5,1),"y")&amp;" ano"&amp;IF(DATEDIF($D2,DATE(2026,5,1),"y")&lt;&gt;1,"s","")&amp;IF(DATEDIF($D2,DATE(2026,5,1),"ym")&gt;0," e "&amp;DATEDIF($D2,DATE(2026,5,1),"ym")&amp;" mês"&amp;IF(DATEDIF($D2,DATE(2026,5,1),"ym")&lt;&gt;1,"es",""),"")))</f>
        <v>0 anos e 8 mêses</v>
      </c>
      <c r="J2" s="11" t="str">
        <f>IF($D2="","",IF(DATE(2026,6,1)&lt;$D2,"",DATEDIF($D2,DATE(2026,6,1),"y")&amp;" ano"&amp;IF(DATEDIF($D2,DATE(2026,6,1),"y")&lt;&gt;1,"s","")&amp;IF(DATEDIF($D2,DATE(2026,6,1),"ym")&gt;0," e "&amp;DATEDIF($D2,DATE(2026,6,1),"ym")&amp;" mês"&amp;IF(DATEDIF($D2,DATE(2026,6,1),"ym")&lt;&gt;1,"es",""),"")))</f>
        <v>0 anos e 9 mêses</v>
      </c>
      <c r="K2" s="12" t="str">
        <f>IF($D2="","",IF(DATE(2026,7,1)&lt;$D2,"",DATEDIF($D2,DATE(2026,7,1),"y")&amp;" ano"&amp;IF(DATEDIF($D2,DATE(2026,7,1),"y")&lt;&gt;1,"s","")&amp;IF(DATEDIF($D2,DATE(2026,7,1),"ym")&gt;0," e "&amp;DATEDIF($D2,DATE(2026,7,1),"ym")&amp;" mês"&amp;IF(DATEDIF($D2,DATE(2026,7,1),"ym")&lt;&gt;1,"es",""),"")))</f>
        <v>0 anos e 10 mêses</v>
      </c>
      <c r="L2" s="13" t="str">
        <f>IF($D2="","",IF(DATE(2026,8,1)&lt;$D2,"",DATEDIF($D2,DATE(2026,8,1),"y")&amp;" ano"&amp;IF(DATEDIF($D2,DATE(2026,8,1),"y")&lt;&gt;1,"s","")&amp;IF(DATEDIF($D2,DATE(2026,8,1),"ym")&gt;0," e "&amp;DATEDIF($D2,DATE(2026,8,1),"ym")&amp;" mês"&amp;IF(DATEDIF($D2,DATE(2026,8,1),"ym")&lt;&gt;1,"es",""),"")))</f>
        <v>0 anos e 11 mêses</v>
      </c>
      <c r="M2" s="14" t="str">
        <f>IF($D2="","",IF(DATE(2026,9,1)&lt;$D2,"",DATEDIF($D2,DATE(2026,9,1),"y")&amp;" ano"&amp;IF(DATEDIF($D2,DATE(2026,9,1),"y")&lt;&gt;1,"s","")&amp;IF(DATEDIF($D2,DATE(2026,9,1),"ym")&gt;0," e "&amp;DATEDIF($D2,DATE(2026,9,1),"ym")&amp;" mês"&amp;IF(DATEDIF($D2,DATE(2026,9,1),"ym")&lt;&gt;1,"es",""),"")))</f>
        <v>1 ano</v>
      </c>
      <c r="N2" s="15" t="str">
        <f>IF($D2="","",IF(DATE(2026,10,1)&lt;$D2,"",DATEDIF($D2,DATE(2026,10,1),"y")&amp;" ano"&amp;IF(DATEDIF($D2,DATE(2026,10,1),"y")&lt;&gt;1,"s","")&amp;IF(DATEDIF($D2,DATE(2026,10,1),"ym")&gt;0," e "&amp;DATEDIF($D2,DATE(2026,10,1),"ym")&amp;" mês"&amp;IF(DATEDIF($D2,DATE(2026,10,1),"ym")&lt;&gt;1,"es",""),"")))</f>
        <v>1 ano e 1 mês</v>
      </c>
      <c r="O2" s="16" t="str">
        <f>IF($D2="","",IF(DATE(2026,11,1)&lt;$D2,"",DATEDIF($D2,DATE(2026,11,1),"y")&amp;" ano"&amp;IF(DATEDIF($D2,DATE(2026,11,1),"y")&lt;&gt;1,"s","")&amp;IF(DATEDIF($D2,DATE(2026,11,1),"ym")&gt;0," e "&amp;DATEDIF($D2,DATE(2026,11,1),"ym")&amp;" mês"&amp;IF(DATEDIF($D2,DATE(2026,11,1),"ym")&lt;&gt;1,"es",""),"")))</f>
        <v>1 ano e 2 mêses</v>
      </c>
      <c r="P2" s="17" t="str">
        <f>IF($D2="","",IF(DATE(2026,12,1)&lt;$D2,"",DATEDIF($D2,DATE(2026,12,1),"y")&amp;" ano"&amp;IF(DATEDIF($D2,DATE(2026,12,1),"y")&lt;&gt;1,"s","")&amp;IF(DATEDIF($D2,DATE(2026,12,1),"ym")&gt;0," e "&amp;DATEDIF($D2,DATE(2026,12,1),"ym")&amp;" mês"&amp;IF(DATEDIF($D2,DATE(2026,12,1),"ym")&lt;&gt;1,"es",""),"")))</f>
        <v>1 ano e 3 mêses</v>
      </c>
    </row>
    <row r="3" spans="1:16" ht="16.05" customHeight="1" x14ac:dyDescent="0.3">
      <c r="A3" s="18" t="s">
        <v>6</v>
      </c>
      <c r="B3" s="19" t="s">
        <v>7</v>
      </c>
      <c r="C3" s="20" t="s">
        <v>8</v>
      </c>
      <c r="D3" s="21">
        <v>45588</v>
      </c>
      <c r="E3" s="6" t="str">
        <f t="shared" ref="E3:E29" si="0">IF($D3="","",IF(DATE(2026,1,1)&lt;$D3,"",DATEDIF($D3,DATE(2026,1,1),"y")&amp;" ano"&amp;IF(DATEDIF($D3,DATE(2026,1,1),"y")&lt;&gt;1,"s","")&amp;IF(DATEDIF($D3,DATE(2026,1,1),"ym")&gt;0," e "&amp;DATEDIF($D3,DATE(2026,1,1),"ym")&amp;" mês"&amp;IF(DATEDIF($D3,DATE(2026,1,1),"ym")&lt;&gt;1,"es",""),"")))</f>
        <v>1 ano e 2 mêses</v>
      </c>
      <c r="F3" s="7" t="str">
        <f t="shared" ref="F3:F29" si="1">IF($D3="","",IF(DATE(2026,2,1)&lt;$D3,"",DATEDIF($D3,DATE(2026,2,1),"y")&amp;" ano"&amp;IF(DATEDIF($D3,DATE(2026,2,1),"y")&lt;&gt;1,"s","")&amp;IF(DATEDIF($D3,DATE(2026,2,1),"ym")&gt;0," e "&amp;DATEDIF($D3,DATE(2026,2,1),"ym")&amp;" mês"&amp;IF(DATEDIF($D3,DATE(2026,2,1),"ym")&lt;&gt;1,"es",""),"")))</f>
        <v>1 ano e 3 mêses</v>
      </c>
      <c r="G3" s="8" t="str">
        <f t="shared" ref="G3:G29" si="2">IF($D3="","",IF(DATE(2026,3,1)&lt;$D3,"",DATEDIF($D3,DATE(2026,3,1),"y")&amp;" ano"&amp;IF(DATEDIF($D3,DATE(2026,3,1),"y")&lt;&gt;1,"s","")&amp;IF(DATEDIF($D3,DATE(2026,3,1),"ym")&gt;0," e "&amp;DATEDIF($D3,DATE(2026,3,1),"ym")&amp;" mês"&amp;IF(DATEDIF($D3,DATE(2026,3,1),"ym")&lt;&gt;1,"es",""),"")))</f>
        <v>1 ano e 4 mêses</v>
      </c>
      <c r="H3" s="9" t="str">
        <f t="shared" ref="H3:H29" si="3">IF($D3="","",IF(DATE(2026,4,1)&lt;$D3,"",DATEDIF($D3,DATE(2026,4,1),"y")&amp;" ano"&amp;IF(DATEDIF($D3,DATE(2026,4,1),"y")&lt;&gt;1,"s","")&amp;IF(DATEDIF($D3,DATE(2026,4,1),"ym")&gt;0," e "&amp;DATEDIF($D3,DATE(2026,4,1),"ym")&amp;" mês"&amp;IF(DATEDIF($D3,DATE(2026,4,1),"ym")&lt;&gt;1,"es",""),"")))</f>
        <v>1 ano e 5 mêses</v>
      </c>
      <c r="I3" s="10" t="str">
        <f t="shared" ref="I3:I29" si="4">IF($D3="","",IF(DATE(2026,5,1)&lt;$D3,"",DATEDIF($D3,DATE(2026,5,1),"y")&amp;" ano"&amp;IF(DATEDIF($D3,DATE(2026,5,1),"y")&lt;&gt;1,"s","")&amp;IF(DATEDIF($D3,DATE(2026,5,1),"ym")&gt;0," e "&amp;DATEDIF($D3,DATE(2026,5,1),"ym")&amp;" mês"&amp;IF(DATEDIF($D3,DATE(2026,5,1),"ym")&lt;&gt;1,"es",""),"")))</f>
        <v>1 ano e 6 mêses</v>
      </c>
      <c r="J3" s="11" t="str">
        <f t="shared" ref="J3:J29" si="5">IF($D3="","",IF(DATE(2026,6,1)&lt;$D3,"",DATEDIF($D3,DATE(2026,6,1),"y")&amp;" ano"&amp;IF(DATEDIF($D3,DATE(2026,6,1),"y")&lt;&gt;1,"s","")&amp;IF(DATEDIF($D3,DATE(2026,6,1),"ym")&gt;0," e "&amp;DATEDIF($D3,DATE(2026,6,1),"ym")&amp;" mês"&amp;IF(DATEDIF($D3,DATE(2026,6,1),"ym")&lt;&gt;1,"es",""),"")))</f>
        <v>1 ano e 7 mêses</v>
      </c>
      <c r="K3" s="12" t="str">
        <f t="shared" ref="K3:K29" si="6">IF($D3="","",IF(DATE(2026,7,1)&lt;$D3,"",DATEDIF($D3,DATE(2026,7,1),"y")&amp;" ano"&amp;IF(DATEDIF($D3,DATE(2026,7,1),"y")&lt;&gt;1,"s","")&amp;IF(DATEDIF($D3,DATE(2026,7,1),"ym")&gt;0," e "&amp;DATEDIF($D3,DATE(2026,7,1),"ym")&amp;" mês"&amp;IF(DATEDIF($D3,DATE(2026,7,1),"ym")&lt;&gt;1,"es",""),"")))</f>
        <v>1 ano e 8 mêses</v>
      </c>
      <c r="L3" s="13" t="str">
        <f t="shared" ref="L3:L29" si="7">IF($D3="","",IF(DATE(2026,8,1)&lt;$D3,"",DATEDIF($D3,DATE(2026,8,1),"y")&amp;" ano"&amp;IF(DATEDIF($D3,DATE(2026,8,1),"y")&lt;&gt;1,"s","")&amp;IF(DATEDIF($D3,DATE(2026,8,1),"ym")&gt;0," e "&amp;DATEDIF($D3,DATE(2026,8,1),"ym")&amp;" mês"&amp;IF(DATEDIF($D3,DATE(2026,8,1),"ym")&lt;&gt;1,"es",""),"")))</f>
        <v>1 ano e 9 mêses</v>
      </c>
      <c r="M3" s="14" t="str">
        <f t="shared" ref="M3:M29" si="8">IF($D3="","",IF(DATE(2026,9,1)&lt;$D3,"",DATEDIF($D3,DATE(2026,9,1),"y")&amp;" ano"&amp;IF(DATEDIF($D3,DATE(2026,9,1),"y")&lt;&gt;1,"s","")&amp;IF(DATEDIF($D3,DATE(2026,9,1),"ym")&gt;0," e "&amp;DATEDIF($D3,DATE(2026,9,1),"ym")&amp;" mês"&amp;IF(DATEDIF($D3,DATE(2026,9,1),"ym")&lt;&gt;1,"es",""),"")))</f>
        <v>1 ano e 10 mêses</v>
      </c>
      <c r="N3" s="15" t="str">
        <f t="shared" ref="N3:N29" si="9">IF($D3="","",IF(DATE(2026,10,1)&lt;$D3,"",DATEDIF($D3,DATE(2026,10,1),"y")&amp;" ano"&amp;IF(DATEDIF($D3,DATE(2026,10,1),"y")&lt;&gt;1,"s","")&amp;IF(DATEDIF($D3,DATE(2026,10,1),"ym")&gt;0," e "&amp;DATEDIF($D3,DATE(2026,10,1),"ym")&amp;" mês"&amp;IF(DATEDIF($D3,DATE(2026,10,1),"ym")&lt;&gt;1,"es",""),"")))</f>
        <v>1 ano e 11 mêses</v>
      </c>
      <c r="O3" s="16" t="str">
        <f t="shared" ref="O3:O29" si="10">IF($D3="","",IF(DATE(2026,11,1)&lt;$D3,"",DATEDIF($D3,DATE(2026,11,1),"y")&amp;" ano"&amp;IF(DATEDIF($D3,DATE(2026,11,1),"y")&lt;&gt;1,"s","")&amp;IF(DATEDIF($D3,DATE(2026,11,1),"ym")&gt;0," e "&amp;DATEDIF($D3,DATE(2026,11,1),"ym")&amp;" mês"&amp;IF(DATEDIF($D3,DATE(2026,11,1),"ym")&lt;&gt;1,"es",""),"")))</f>
        <v>2 anos</v>
      </c>
      <c r="P3" s="17" t="str">
        <f t="shared" ref="P3:P29" si="11">IF($D3="","",IF(DATE(2026,12,1)&lt;$D3,"",DATEDIF($D3,DATE(2026,12,1),"y")&amp;" ano"&amp;IF(DATEDIF($D3,DATE(2026,12,1),"y")&lt;&gt;1,"s","")&amp;IF(DATEDIF($D3,DATE(2026,12,1),"ym")&gt;0," e "&amp;DATEDIF($D3,DATE(2026,12,1),"ym")&amp;" mês"&amp;IF(DATEDIF($D3,DATE(2026,12,1),"ym")&lt;&gt;1,"es",""),"")))</f>
        <v>2 anos e 1 mês</v>
      </c>
    </row>
    <row r="4" spans="1:16" ht="16.05" customHeight="1" x14ac:dyDescent="0.3">
      <c r="A4" s="18" t="s">
        <v>9</v>
      </c>
      <c r="B4" s="19" t="s">
        <v>10</v>
      </c>
      <c r="C4" s="20" t="s">
        <v>11</v>
      </c>
      <c r="D4" s="21">
        <v>45421</v>
      </c>
      <c r="E4" s="6" t="str">
        <f t="shared" si="0"/>
        <v>1 ano e 7 mêses</v>
      </c>
      <c r="F4" s="7" t="str">
        <f t="shared" si="1"/>
        <v>1 ano e 8 mêses</v>
      </c>
      <c r="G4" s="8" t="str">
        <f t="shared" si="2"/>
        <v>1 ano e 9 mêses</v>
      </c>
      <c r="H4" s="9" t="str">
        <f t="shared" si="3"/>
        <v>1 ano e 10 mêses</v>
      </c>
      <c r="I4" s="10" t="str">
        <f t="shared" si="4"/>
        <v>1 ano e 11 mêses</v>
      </c>
      <c r="J4" s="11" t="str">
        <f t="shared" si="5"/>
        <v>2 anos</v>
      </c>
      <c r="K4" s="12" t="str">
        <f t="shared" si="6"/>
        <v>2 anos e 1 mês</v>
      </c>
      <c r="L4" s="13" t="str">
        <f t="shared" si="7"/>
        <v>2 anos e 2 mêses</v>
      </c>
      <c r="M4" s="14" t="str">
        <f t="shared" si="8"/>
        <v>2 anos e 3 mêses</v>
      </c>
      <c r="N4" s="15" t="str">
        <f t="shared" si="9"/>
        <v>2 anos e 4 mêses</v>
      </c>
      <c r="O4" s="16" t="str">
        <f t="shared" si="10"/>
        <v>2 anos e 5 mêses</v>
      </c>
      <c r="P4" s="17" t="str">
        <f t="shared" si="11"/>
        <v>2 anos e 6 mêses</v>
      </c>
    </row>
    <row r="5" spans="1:16" ht="16.05" customHeight="1" x14ac:dyDescent="0.3">
      <c r="A5" s="18" t="s">
        <v>12</v>
      </c>
      <c r="B5" s="19" t="s">
        <v>13</v>
      </c>
      <c r="C5" s="20" t="s">
        <v>14</v>
      </c>
      <c r="D5" s="21">
        <v>45815</v>
      </c>
      <c r="E5" s="6" t="str">
        <f t="shared" si="0"/>
        <v>0 anos e 6 mêses</v>
      </c>
      <c r="F5" s="7" t="str">
        <f t="shared" si="1"/>
        <v>0 anos e 7 mêses</v>
      </c>
      <c r="G5" s="8" t="str">
        <f t="shared" si="2"/>
        <v>0 anos e 8 mêses</v>
      </c>
      <c r="H5" s="9" t="str">
        <f t="shared" si="3"/>
        <v>0 anos e 9 mêses</v>
      </c>
      <c r="I5" s="10" t="str">
        <f t="shared" si="4"/>
        <v>0 anos e 10 mêses</v>
      </c>
      <c r="J5" s="11" t="str">
        <f t="shared" si="5"/>
        <v>0 anos e 11 mêses</v>
      </c>
      <c r="K5" s="12" t="str">
        <f t="shared" si="6"/>
        <v>1 ano</v>
      </c>
      <c r="L5" s="13" t="str">
        <f t="shared" si="7"/>
        <v>1 ano e 1 mês</v>
      </c>
      <c r="M5" s="14" t="str">
        <f t="shared" si="8"/>
        <v>1 ano e 2 mêses</v>
      </c>
      <c r="N5" s="15" t="str">
        <f t="shared" si="9"/>
        <v>1 ano e 3 mêses</v>
      </c>
      <c r="O5" s="16" t="str">
        <f t="shared" si="10"/>
        <v>1 ano e 4 mêses</v>
      </c>
      <c r="P5" s="17" t="str">
        <f t="shared" si="11"/>
        <v>1 ano e 5 mêses</v>
      </c>
    </row>
    <row r="6" spans="1:16" ht="16.05" customHeight="1" x14ac:dyDescent="0.3">
      <c r="A6" s="18" t="s">
        <v>15</v>
      </c>
      <c r="B6" s="19" t="s">
        <v>16</v>
      </c>
      <c r="C6" s="20" t="s">
        <v>17</v>
      </c>
      <c r="D6" s="21">
        <v>46003</v>
      </c>
      <c r="E6" s="6" t="str">
        <f t="shared" si="0"/>
        <v>0 anos</v>
      </c>
      <c r="F6" s="7" t="str">
        <f t="shared" si="1"/>
        <v>0 anos e 1 mês</v>
      </c>
      <c r="G6" s="8" t="str">
        <f t="shared" si="2"/>
        <v>0 anos e 2 mêses</v>
      </c>
      <c r="H6" s="9" t="str">
        <f t="shared" si="3"/>
        <v>0 anos e 3 mêses</v>
      </c>
      <c r="I6" s="10" t="str">
        <f t="shared" si="4"/>
        <v>0 anos e 4 mêses</v>
      </c>
      <c r="J6" s="11" t="str">
        <f t="shared" si="5"/>
        <v>0 anos e 5 mêses</v>
      </c>
      <c r="K6" s="12" t="str">
        <f t="shared" si="6"/>
        <v>0 anos e 6 mêses</v>
      </c>
      <c r="L6" s="13" t="str">
        <f t="shared" si="7"/>
        <v>0 anos e 7 mêses</v>
      </c>
      <c r="M6" s="14" t="str">
        <f t="shared" si="8"/>
        <v>0 anos e 8 mêses</v>
      </c>
      <c r="N6" s="15" t="str">
        <f t="shared" si="9"/>
        <v>0 anos e 9 mêses</v>
      </c>
      <c r="O6" s="16" t="str">
        <f t="shared" si="10"/>
        <v>0 anos e 10 mêses</v>
      </c>
      <c r="P6" s="17" t="str">
        <f t="shared" si="11"/>
        <v>0 anos e 11 mêses</v>
      </c>
    </row>
    <row r="7" spans="1:16" ht="16.05" customHeight="1" x14ac:dyDescent="0.3">
      <c r="A7" s="18" t="s">
        <v>18</v>
      </c>
      <c r="B7" s="19" t="s">
        <v>19</v>
      </c>
      <c r="C7" s="20" t="s">
        <v>8</v>
      </c>
      <c r="D7" s="21">
        <v>45422</v>
      </c>
      <c r="E7" s="6" t="str">
        <f t="shared" si="0"/>
        <v>1 ano e 7 mêses</v>
      </c>
      <c r="F7" s="7" t="str">
        <f t="shared" si="1"/>
        <v>1 ano e 8 mêses</v>
      </c>
      <c r="G7" s="8" t="str">
        <f t="shared" si="2"/>
        <v>1 ano e 9 mêses</v>
      </c>
      <c r="H7" s="9" t="str">
        <f t="shared" si="3"/>
        <v>1 ano e 10 mêses</v>
      </c>
      <c r="I7" s="10" t="str">
        <f t="shared" si="4"/>
        <v>1 ano e 11 mêses</v>
      </c>
      <c r="J7" s="11" t="str">
        <f t="shared" si="5"/>
        <v>2 anos</v>
      </c>
      <c r="K7" s="12" t="str">
        <f t="shared" si="6"/>
        <v>2 anos e 1 mês</v>
      </c>
      <c r="L7" s="13" t="str">
        <f t="shared" si="7"/>
        <v>2 anos e 2 mêses</v>
      </c>
      <c r="M7" s="14" t="str">
        <f t="shared" si="8"/>
        <v>2 anos e 3 mêses</v>
      </c>
      <c r="N7" s="15" t="str">
        <f t="shared" si="9"/>
        <v>2 anos e 4 mêses</v>
      </c>
      <c r="O7" s="16" t="str">
        <f t="shared" si="10"/>
        <v>2 anos e 5 mêses</v>
      </c>
      <c r="P7" s="17" t="str">
        <f t="shared" si="11"/>
        <v>2 anos e 6 mêses</v>
      </c>
    </row>
    <row r="8" spans="1:16" ht="16.05" customHeight="1" x14ac:dyDescent="0.3">
      <c r="A8" s="18" t="s">
        <v>20</v>
      </c>
      <c r="B8" s="19" t="s">
        <v>21</v>
      </c>
      <c r="C8" s="20" t="s">
        <v>22</v>
      </c>
      <c r="D8" s="21">
        <v>46052</v>
      </c>
      <c r="E8" s="6" t="str">
        <f t="shared" si="0"/>
        <v/>
      </c>
      <c r="F8" s="7" t="str">
        <f t="shared" si="1"/>
        <v>0 anos</v>
      </c>
      <c r="G8" s="8" t="str">
        <f t="shared" si="2"/>
        <v>0 anos e 1 mês</v>
      </c>
      <c r="H8" s="9" t="str">
        <f t="shared" si="3"/>
        <v>0 anos e 2 mêses</v>
      </c>
      <c r="I8" s="10" t="str">
        <f t="shared" si="4"/>
        <v>0 anos e 3 mêses</v>
      </c>
      <c r="J8" s="11" t="str">
        <f t="shared" si="5"/>
        <v>0 anos e 4 mêses</v>
      </c>
      <c r="K8" s="12" t="str">
        <f t="shared" si="6"/>
        <v>0 anos e 5 mêses</v>
      </c>
      <c r="L8" s="13" t="str">
        <f t="shared" si="7"/>
        <v>0 anos e 6 mêses</v>
      </c>
      <c r="M8" s="14" t="str">
        <f t="shared" si="8"/>
        <v>0 anos e 7 mêses</v>
      </c>
      <c r="N8" s="15" t="str">
        <f t="shared" si="9"/>
        <v>0 anos e 8 mêses</v>
      </c>
      <c r="O8" s="16" t="str">
        <f t="shared" si="10"/>
        <v>0 anos e 9 mêses</v>
      </c>
      <c r="P8" s="17" t="str">
        <f t="shared" si="11"/>
        <v>0 anos e 10 mêses</v>
      </c>
    </row>
    <row r="9" spans="1:16" ht="16.05" customHeight="1" x14ac:dyDescent="0.3">
      <c r="A9" s="18" t="s">
        <v>23</v>
      </c>
      <c r="B9" s="19" t="s">
        <v>24</v>
      </c>
      <c r="C9" s="20" t="s">
        <v>22</v>
      </c>
      <c r="D9" s="21">
        <v>44029</v>
      </c>
      <c r="E9" s="6" t="str">
        <f t="shared" si="0"/>
        <v>5 anos e 5 mêses</v>
      </c>
      <c r="F9" s="7" t="str">
        <f t="shared" si="1"/>
        <v>5 anos e 6 mêses</v>
      </c>
      <c r="G9" s="8" t="str">
        <f t="shared" si="2"/>
        <v>5 anos e 7 mêses</v>
      </c>
      <c r="H9" s="9" t="str">
        <f t="shared" si="3"/>
        <v>5 anos e 8 mêses</v>
      </c>
      <c r="I9" s="10" t="str">
        <f t="shared" si="4"/>
        <v>5 anos e 9 mêses</v>
      </c>
      <c r="J9" s="11" t="str">
        <f t="shared" si="5"/>
        <v>5 anos e 10 mêses</v>
      </c>
      <c r="K9" s="12" t="str">
        <f t="shared" si="6"/>
        <v>5 anos e 11 mêses</v>
      </c>
      <c r="L9" s="13" t="str">
        <f t="shared" si="7"/>
        <v>6 anos</v>
      </c>
      <c r="M9" s="14" t="str">
        <f t="shared" si="8"/>
        <v>6 anos e 1 mês</v>
      </c>
      <c r="N9" s="15" t="str">
        <f t="shared" si="9"/>
        <v>6 anos e 2 mêses</v>
      </c>
      <c r="O9" s="16" t="str">
        <f t="shared" si="10"/>
        <v>6 anos e 3 mêses</v>
      </c>
      <c r="P9" s="17" t="str">
        <f t="shared" si="11"/>
        <v>6 anos e 4 mêses</v>
      </c>
    </row>
    <row r="10" spans="1:16" ht="16.05" customHeight="1" x14ac:dyDescent="0.3">
      <c r="A10" s="18" t="s">
        <v>25</v>
      </c>
      <c r="B10" s="19" t="s">
        <v>26</v>
      </c>
      <c r="C10" s="20" t="s">
        <v>8</v>
      </c>
      <c r="D10" s="21">
        <v>46051</v>
      </c>
      <c r="E10" s="6"/>
      <c r="F10" s="7" t="str">
        <f t="shared" si="1"/>
        <v>0 anos</v>
      </c>
      <c r="G10" s="8" t="str">
        <f t="shared" si="2"/>
        <v>0 anos e 1 mês</v>
      </c>
      <c r="H10" s="9" t="str">
        <f t="shared" si="3"/>
        <v>0 anos e 2 mêses</v>
      </c>
      <c r="I10" s="10" t="str">
        <f t="shared" si="4"/>
        <v>0 anos e 3 mêses</v>
      </c>
      <c r="J10" s="11" t="str">
        <f t="shared" si="5"/>
        <v>0 anos e 4 mêses</v>
      </c>
      <c r="K10" s="12" t="str">
        <f t="shared" si="6"/>
        <v>0 anos e 5 mêses</v>
      </c>
      <c r="L10" s="13" t="str">
        <f t="shared" si="7"/>
        <v>0 anos e 6 mêses</v>
      </c>
      <c r="M10" s="14" t="str">
        <f t="shared" si="8"/>
        <v>0 anos e 7 mêses</v>
      </c>
      <c r="N10" s="15" t="str">
        <f t="shared" si="9"/>
        <v>0 anos e 8 mêses</v>
      </c>
      <c r="O10" s="16" t="str">
        <f t="shared" si="10"/>
        <v>0 anos e 9 mêses</v>
      </c>
      <c r="P10" s="17" t="str">
        <f t="shared" si="11"/>
        <v>0 anos e 10 mêses</v>
      </c>
    </row>
    <row r="11" spans="1:16" ht="16.05" customHeight="1" x14ac:dyDescent="0.3">
      <c r="A11" s="18" t="s">
        <v>27</v>
      </c>
      <c r="B11" s="19" t="s">
        <v>28</v>
      </c>
      <c r="C11" s="20" t="s">
        <v>11</v>
      </c>
      <c r="D11" s="21">
        <v>46092</v>
      </c>
      <c r="E11" s="6" t="str">
        <f t="shared" si="0"/>
        <v/>
      </c>
      <c r="F11" s="7" t="str">
        <f t="shared" si="1"/>
        <v/>
      </c>
      <c r="G11" s="8" t="str">
        <f t="shared" si="2"/>
        <v/>
      </c>
      <c r="H11" s="9" t="str">
        <f t="shared" si="3"/>
        <v>0 anos</v>
      </c>
      <c r="I11" s="10" t="str">
        <f t="shared" si="4"/>
        <v>0 anos e 1 mês</v>
      </c>
      <c r="J11" s="11" t="str">
        <f t="shared" si="5"/>
        <v>0 anos e 2 mêses</v>
      </c>
      <c r="K11" s="12" t="str">
        <f t="shared" si="6"/>
        <v>0 anos e 3 mêses</v>
      </c>
      <c r="L11" s="13" t="str">
        <f t="shared" si="7"/>
        <v>0 anos e 4 mêses</v>
      </c>
      <c r="M11" s="14" t="str">
        <f t="shared" si="8"/>
        <v>0 anos e 5 mêses</v>
      </c>
      <c r="N11" s="15" t="str">
        <f t="shared" si="9"/>
        <v>0 anos e 6 mêses</v>
      </c>
      <c r="O11" s="16" t="str">
        <f t="shared" si="10"/>
        <v>0 anos e 7 mêses</v>
      </c>
      <c r="P11" s="17" t="str">
        <f t="shared" si="11"/>
        <v>0 anos e 8 mêses</v>
      </c>
    </row>
    <row r="12" spans="1:16" ht="16.05" customHeight="1" x14ac:dyDescent="0.3">
      <c r="A12" s="18" t="s">
        <v>29</v>
      </c>
      <c r="B12" s="19" t="s">
        <v>30</v>
      </c>
      <c r="C12" s="20" t="s">
        <v>31</v>
      </c>
      <c r="D12" s="21">
        <v>46083</v>
      </c>
      <c r="E12" s="6" t="str">
        <f t="shared" si="0"/>
        <v/>
      </c>
      <c r="F12" s="7" t="str">
        <f t="shared" si="1"/>
        <v/>
      </c>
      <c r="G12" s="8" t="str">
        <f t="shared" si="2"/>
        <v/>
      </c>
      <c r="H12" s="9" t="str">
        <f t="shared" si="3"/>
        <v>0 anos</v>
      </c>
      <c r="I12" s="10" t="str">
        <f t="shared" si="4"/>
        <v>0 anos e 1 mês</v>
      </c>
      <c r="J12" s="11" t="str">
        <f t="shared" si="5"/>
        <v>0 anos e 2 mêses</v>
      </c>
      <c r="K12" s="12" t="str">
        <f t="shared" si="6"/>
        <v>0 anos e 3 mêses</v>
      </c>
      <c r="L12" s="13" t="str">
        <f t="shared" si="7"/>
        <v>0 anos e 4 mêses</v>
      </c>
      <c r="M12" s="14" t="str">
        <f t="shared" si="8"/>
        <v>0 anos e 5 mêses</v>
      </c>
      <c r="N12" s="15" t="str">
        <f t="shared" si="9"/>
        <v>0 anos e 6 mêses</v>
      </c>
      <c r="O12" s="16" t="str">
        <f t="shared" si="10"/>
        <v>0 anos e 7 mêses</v>
      </c>
      <c r="P12" s="17" t="str">
        <f t="shared" si="11"/>
        <v>0 anos e 8 mêses</v>
      </c>
    </row>
    <row r="13" spans="1:16" ht="16.05" customHeight="1" x14ac:dyDescent="0.3">
      <c r="A13" s="18" t="s">
        <v>32</v>
      </c>
      <c r="B13" s="19" t="s">
        <v>33</v>
      </c>
      <c r="C13" s="20" t="s">
        <v>34</v>
      </c>
      <c r="D13" s="21">
        <v>46104</v>
      </c>
      <c r="E13" s="6" t="str">
        <f t="shared" si="0"/>
        <v/>
      </c>
      <c r="F13" s="7" t="str">
        <f t="shared" si="1"/>
        <v/>
      </c>
      <c r="G13" s="8" t="str">
        <f t="shared" si="2"/>
        <v/>
      </c>
      <c r="H13" s="9" t="str">
        <f t="shared" si="3"/>
        <v>0 anos</v>
      </c>
      <c r="I13" s="10" t="str">
        <f t="shared" si="4"/>
        <v>0 anos e 1 mês</v>
      </c>
      <c r="J13" s="11" t="str">
        <f t="shared" si="5"/>
        <v>0 anos e 2 mêses</v>
      </c>
      <c r="K13" s="12" t="str">
        <f t="shared" si="6"/>
        <v>0 anos e 3 mêses</v>
      </c>
      <c r="L13" s="13" t="str">
        <f t="shared" si="7"/>
        <v>0 anos e 4 mêses</v>
      </c>
      <c r="M13" s="14" t="str">
        <f t="shared" si="8"/>
        <v>0 anos e 5 mêses</v>
      </c>
      <c r="N13" s="15" t="str">
        <f t="shared" si="9"/>
        <v>0 anos e 6 mêses</v>
      </c>
      <c r="O13" s="16" t="str">
        <f t="shared" si="10"/>
        <v>0 anos e 7 mêses</v>
      </c>
      <c r="P13" s="17" t="str">
        <f t="shared" si="11"/>
        <v>0 anos e 8 mêses</v>
      </c>
    </row>
    <row r="14" spans="1:16" ht="16.05" customHeight="1" x14ac:dyDescent="0.3">
      <c r="A14" s="18" t="s">
        <v>35</v>
      </c>
      <c r="B14" s="19" t="s">
        <v>36</v>
      </c>
      <c r="C14" s="20" t="s">
        <v>31</v>
      </c>
      <c r="D14" s="21">
        <v>46108</v>
      </c>
      <c r="E14" s="6" t="str">
        <f t="shared" si="0"/>
        <v/>
      </c>
      <c r="F14" s="7" t="str">
        <f t="shared" si="1"/>
        <v/>
      </c>
      <c r="G14" s="8" t="str">
        <f t="shared" si="2"/>
        <v/>
      </c>
      <c r="H14" s="9" t="str">
        <f t="shared" si="3"/>
        <v>0 anos</v>
      </c>
      <c r="I14" s="10" t="str">
        <f t="shared" si="4"/>
        <v>0 anos e 1 mês</v>
      </c>
      <c r="J14" s="11" t="str">
        <f t="shared" si="5"/>
        <v>0 anos e 2 mêses</v>
      </c>
      <c r="K14" s="12" t="str">
        <f t="shared" si="6"/>
        <v>0 anos e 3 mêses</v>
      </c>
      <c r="L14" s="13" t="str">
        <f t="shared" si="7"/>
        <v>0 anos e 4 mêses</v>
      </c>
      <c r="M14" s="14" t="str">
        <f t="shared" si="8"/>
        <v>0 anos e 5 mêses</v>
      </c>
      <c r="N14" s="15" t="str">
        <f t="shared" si="9"/>
        <v>0 anos e 6 mêses</v>
      </c>
      <c r="O14" s="16" t="str">
        <f t="shared" si="10"/>
        <v>0 anos e 7 mêses</v>
      </c>
      <c r="P14" s="17" t="str">
        <f t="shared" si="11"/>
        <v>0 anos e 8 mêses</v>
      </c>
    </row>
    <row r="15" spans="1:16" ht="16.05" customHeight="1" x14ac:dyDescent="0.3">
      <c r="A15" s="18" t="s">
        <v>37</v>
      </c>
      <c r="B15" s="19" t="s">
        <v>38</v>
      </c>
      <c r="C15" s="20" t="s">
        <v>39</v>
      </c>
      <c r="D15" s="21">
        <v>45709</v>
      </c>
      <c r="E15" s="6" t="str">
        <f t="shared" si="0"/>
        <v>0 anos e 10 mêses</v>
      </c>
      <c r="F15" s="7" t="str">
        <f t="shared" si="1"/>
        <v>0 anos e 11 mêses</v>
      </c>
      <c r="G15" s="8" t="str">
        <f t="shared" si="2"/>
        <v>1 ano</v>
      </c>
      <c r="H15" s="9" t="str">
        <f t="shared" si="3"/>
        <v>1 ano e 1 mês</v>
      </c>
      <c r="I15" s="10" t="str">
        <f t="shared" si="4"/>
        <v>1 ano e 2 mêses</v>
      </c>
      <c r="J15" s="11" t="str">
        <f t="shared" si="5"/>
        <v>1 ano e 3 mêses</v>
      </c>
      <c r="K15" s="12" t="str">
        <f t="shared" si="6"/>
        <v>1 ano e 4 mêses</v>
      </c>
      <c r="L15" s="13" t="str">
        <f t="shared" si="7"/>
        <v>1 ano e 5 mêses</v>
      </c>
      <c r="M15" s="14" t="str">
        <f t="shared" si="8"/>
        <v>1 ano e 6 mêses</v>
      </c>
      <c r="N15" s="15" t="str">
        <f t="shared" si="9"/>
        <v>1 ano e 7 mêses</v>
      </c>
      <c r="O15" s="16" t="str">
        <f t="shared" si="10"/>
        <v>1 ano e 8 mêses</v>
      </c>
      <c r="P15" s="17" t="str">
        <f t="shared" si="11"/>
        <v>1 ano e 9 mêses</v>
      </c>
    </row>
    <row r="16" spans="1:16" ht="16.05" customHeight="1" x14ac:dyDescent="0.3">
      <c r="A16" s="18" t="s">
        <v>40</v>
      </c>
      <c r="B16" s="19" t="s">
        <v>41</v>
      </c>
      <c r="C16" s="20" t="s">
        <v>39</v>
      </c>
      <c r="D16" s="21">
        <v>45709</v>
      </c>
      <c r="E16" s="6" t="str">
        <f t="shared" si="0"/>
        <v>0 anos e 10 mêses</v>
      </c>
      <c r="F16" s="7" t="str">
        <f t="shared" si="1"/>
        <v>0 anos e 11 mêses</v>
      </c>
      <c r="G16" s="8" t="str">
        <f t="shared" si="2"/>
        <v>1 ano</v>
      </c>
      <c r="H16" s="9" t="str">
        <f t="shared" si="3"/>
        <v>1 ano e 1 mês</v>
      </c>
      <c r="I16" s="10" t="str">
        <f t="shared" si="4"/>
        <v>1 ano e 2 mêses</v>
      </c>
      <c r="J16" s="11" t="str">
        <f t="shared" si="5"/>
        <v>1 ano e 3 mêses</v>
      </c>
      <c r="K16" s="12" t="str">
        <f t="shared" si="6"/>
        <v>1 ano e 4 mêses</v>
      </c>
      <c r="L16" s="13" t="str">
        <f t="shared" si="7"/>
        <v>1 ano e 5 mêses</v>
      </c>
      <c r="M16" s="14" t="str">
        <f t="shared" si="8"/>
        <v>1 ano e 6 mêses</v>
      </c>
      <c r="N16" s="15" t="str">
        <f t="shared" si="9"/>
        <v>1 ano e 7 mêses</v>
      </c>
      <c r="O16" s="16" t="str">
        <f t="shared" si="10"/>
        <v>1 ano e 8 mêses</v>
      </c>
      <c r="P16" s="17" t="str">
        <f t="shared" si="11"/>
        <v>1 ano e 9 mêses</v>
      </c>
    </row>
    <row r="17" spans="1:16" ht="16.05" customHeight="1" x14ac:dyDescent="0.3">
      <c r="A17" s="18" t="s">
        <v>42</v>
      </c>
      <c r="B17" s="19" t="s">
        <v>43</v>
      </c>
      <c r="C17" s="20" t="s">
        <v>44</v>
      </c>
      <c r="D17" s="21">
        <v>45905</v>
      </c>
      <c r="E17" s="6" t="str">
        <f t="shared" si="0"/>
        <v>0 anos e 3 mêses</v>
      </c>
      <c r="F17" s="7" t="str">
        <f t="shared" si="1"/>
        <v>0 anos e 4 mêses</v>
      </c>
      <c r="G17" s="8" t="str">
        <f t="shared" si="2"/>
        <v>0 anos e 5 mêses</v>
      </c>
      <c r="H17" s="9" t="str">
        <f t="shared" si="3"/>
        <v>0 anos e 6 mêses</v>
      </c>
      <c r="I17" s="10" t="str">
        <f t="shared" si="4"/>
        <v>0 anos e 7 mêses</v>
      </c>
      <c r="J17" s="11" t="str">
        <f t="shared" si="5"/>
        <v>0 anos e 8 mêses</v>
      </c>
      <c r="K17" s="12" t="str">
        <f t="shared" si="6"/>
        <v>0 anos e 9 mêses</v>
      </c>
      <c r="L17" s="13" t="str">
        <f t="shared" si="7"/>
        <v>0 anos e 10 mêses</v>
      </c>
      <c r="M17" s="14" t="str">
        <f t="shared" si="8"/>
        <v>0 anos e 11 mêses</v>
      </c>
      <c r="N17" s="15" t="str">
        <f t="shared" si="9"/>
        <v>1 ano</v>
      </c>
      <c r="O17" s="16" t="str">
        <f t="shared" si="10"/>
        <v>1 ano e 1 mês</v>
      </c>
      <c r="P17" s="17" t="str">
        <f t="shared" si="11"/>
        <v>1 ano e 2 mêses</v>
      </c>
    </row>
    <row r="18" spans="1:16" ht="16.05" customHeight="1" x14ac:dyDescent="0.3">
      <c r="A18" s="18" t="s">
        <v>45</v>
      </c>
      <c r="B18" s="19" t="s">
        <v>46</v>
      </c>
      <c r="C18" s="20" t="s">
        <v>47</v>
      </c>
      <c r="D18" s="21">
        <v>45815</v>
      </c>
      <c r="E18" s="6" t="str">
        <f t="shared" si="0"/>
        <v>0 anos e 6 mêses</v>
      </c>
      <c r="F18" s="7" t="str">
        <f t="shared" si="1"/>
        <v>0 anos e 7 mêses</v>
      </c>
      <c r="G18" s="8" t="str">
        <f t="shared" si="2"/>
        <v>0 anos e 8 mêses</v>
      </c>
      <c r="H18" s="9" t="str">
        <f t="shared" si="3"/>
        <v>0 anos e 9 mêses</v>
      </c>
      <c r="I18" s="10" t="str">
        <f t="shared" si="4"/>
        <v>0 anos e 10 mêses</v>
      </c>
      <c r="J18" s="11" t="str">
        <f t="shared" si="5"/>
        <v>0 anos e 11 mêses</v>
      </c>
      <c r="K18" s="12" t="str">
        <f t="shared" si="6"/>
        <v>1 ano</v>
      </c>
      <c r="L18" s="13" t="str">
        <f t="shared" si="7"/>
        <v>1 ano e 1 mês</v>
      </c>
      <c r="M18" s="14" t="str">
        <f t="shared" si="8"/>
        <v>1 ano e 2 mêses</v>
      </c>
      <c r="N18" s="15" t="str">
        <f t="shared" si="9"/>
        <v>1 ano e 3 mêses</v>
      </c>
      <c r="O18" s="16" t="str">
        <f t="shared" si="10"/>
        <v>1 ano e 4 mêses</v>
      </c>
      <c r="P18" s="17" t="str">
        <f t="shared" si="11"/>
        <v>1 ano e 5 mêses</v>
      </c>
    </row>
    <row r="19" spans="1:16" ht="16.05" customHeight="1" x14ac:dyDescent="0.3">
      <c r="A19" s="18" t="s">
        <v>48</v>
      </c>
      <c r="B19" s="19" t="s">
        <v>49</v>
      </c>
      <c r="C19" s="20" t="s">
        <v>50</v>
      </c>
      <c r="D19" s="21">
        <v>46092</v>
      </c>
      <c r="E19" s="6" t="str">
        <f t="shared" si="0"/>
        <v/>
      </c>
      <c r="F19" s="7" t="str">
        <f t="shared" si="1"/>
        <v/>
      </c>
      <c r="G19" s="8" t="str">
        <f t="shared" si="2"/>
        <v/>
      </c>
      <c r="H19" s="9" t="str">
        <f t="shared" si="3"/>
        <v>0 anos</v>
      </c>
      <c r="I19" s="10" t="str">
        <f t="shared" si="4"/>
        <v>0 anos e 1 mês</v>
      </c>
      <c r="J19" s="11" t="str">
        <f t="shared" si="5"/>
        <v>0 anos e 2 mêses</v>
      </c>
      <c r="K19" s="12" t="str">
        <f t="shared" si="6"/>
        <v>0 anos e 3 mêses</v>
      </c>
      <c r="L19" s="13" t="str">
        <f t="shared" si="7"/>
        <v>0 anos e 4 mêses</v>
      </c>
      <c r="M19" s="14" t="str">
        <f t="shared" si="8"/>
        <v>0 anos e 5 mêses</v>
      </c>
      <c r="N19" s="15" t="str">
        <f t="shared" si="9"/>
        <v>0 anos e 6 mêses</v>
      </c>
      <c r="O19" s="16" t="str">
        <f t="shared" si="10"/>
        <v>0 anos e 7 mêses</v>
      </c>
      <c r="P19" s="17" t="str">
        <f t="shared" si="11"/>
        <v>0 anos e 8 mêses</v>
      </c>
    </row>
    <row r="20" spans="1:16" ht="16.05" customHeight="1" x14ac:dyDescent="0.3">
      <c r="A20" s="18" t="s">
        <v>51</v>
      </c>
      <c r="B20" s="19" t="s">
        <v>52</v>
      </c>
      <c r="C20" s="20" t="s">
        <v>8</v>
      </c>
      <c r="D20" s="21">
        <v>44229</v>
      </c>
      <c r="E20" s="6" t="str">
        <f t="shared" si="0"/>
        <v>4 anos e 10 mêses</v>
      </c>
      <c r="F20" s="7" t="str">
        <f t="shared" si="1"/>
        <v>4 anos e 11 mêses</v>
      </c>
      <c r="G20" s="8" t="str">
        <f t="shared" si="2"/>
        <v>5 anos</v>
      </c>
      <c r="H20" s="9" t="str">
        <f t="shared" si="3"/>
        <v>5 anos e 1 mês</v>
      </c>
      <c r="I20" s="10" t="str">
        <f t="shared" si="4"/>
        <v>5 anos e 2 mêses</v>
      </c>
      <c r="J20" s="11" t="str">
        <f t="shared" si="5"/>
        <v>5 anos e 3 mêses</v>
      </c>
      <c r="K20" s="12" t="str">
        <f t="shared" si="6"/>
        <v>5 anos e 4 mêses</v>
      </c>
      <c r="L20" s="13" t="str">
        <f t="shared" si="7"/>
        <v>5 anos e 5 mêses</v>
      </c>
      <c r="M20" s="14" t="str">
        <f t="shared" si="8"/>
        <v>5 anos e 6 mêses</v>
      </c>
      <c r="N20" s="15" t="str">
        <f t="shared" si="9"/>
        <v>5 anos e 7 mêses</v>
      </c>
      <c r="O20" s="16" t="str">
        <f t="shared" si="10"/>
        <v>5 anos e 8 mêses</v>
      </c>
      <c r="P20" s="17" t="str">
        <f t="shared" si="11"/>
        <v>5 anos e 9 mêses</v>
      </c>
    </row>
    <row r="21" spans="1:16" ht="16.05" customHeight="1" x14ac:dyDescent="0.3">
      <c r="A21" s="18" t="s">
        <v>53</v>
      </c>
      <c r="B21" s="19" t="s">
        <v>54</v>
      </c>
      <c r="C21" s="20" t="s">
        <v>55</v>
      </c>
      <c r="D21" s="21">
        <v>45815</v>
      </c>
      <c r="E21" s="6" t="str">
        <f t="shared" si="0"/>
        <v>0 anos e 6 mêses</v>
      </c>
      <c r="F21" s="7" t="str">
        <f t="shared" si="1"/>
        <v>0 anos e 7 mêses</v>
      </c>
      <c r="G21" s="8" t="str">
        <f t="shared" si="2"/>
        <v>0 anos e 8 mêses</v>
      </c>
      <c r="H21" s="9" t="str">
        <f t="shared" si="3"/>
        <v>0 anos e 9 mêses</v>
      </c>
      <c r="I21" s="10" t="str">
        <f t="shared" si="4"/>
        <v>0 anos e 10 mêses</v>
      </c>
      <c r="J21" s="11" t="str">
        <f t="shared" si="5"/>
        <v>0 anos e 11 mêses</v>
      </c>
      <c r="K21" s="12" t="str">
        <f t="shared" si="6"/>
        <v>1 ano</v>
      </c>
      <c r="L21" s="13" t="str">
        <f t="shared" si="7"/>
        <v>1 ano e 1 mês</v>
      </c>
      <c r="M21" s="14" t="str">
        <f t="shared" si="8"/>
        <v>1 ano e 2 mêses</v>
      </c>
      <c r="N21" s="15" t="str">
        <f t="shared" si="9"/>
        <v>1 ano e 3 mêses</v>
      </c>
      <c r="O21" s="16" t="str">
        <f t="shared" si="10"/>
        <v>1 ano e 4 mêses</v>
      </c>
      <c r="P21" s="17" t="str">
        <f t="shared" si="11"/>
        <v>1 ano e 5 mêses</v>
      </c>
    </row>
    <row r="22" spans="1:16" ht="16.05" customHeight="1" x14ac:dyDescent="0.3">
      <c r="A22" s="18" t="s">
        <v>56</v>
      </c>
      <c r="B22" s="19" t="s">
        <v>57</v>
      </c>
      <c r="C22" s="20" t="s">
        <v>22</v>
      </c>
      <c r="D22" s="21">
        <v>44229</v>
      </c>
      <c r="E22" s="6" t="str">
        <f t="shared" si="0"/>
        <v>4 anos e 10 mêses</v>
      </c>
      <c r="F22" s="7" t="str">
        <f t="shared" si="1"/>
        <v>4 anos e 11 mêses</v>
      </c>
      <c r="G22" s="8" t="str">
        <f t="shared" si="2"/>
        <v>5 anos</v>
      </c>
      <c r="H22" s="9" t="str">
        <f t="shared" si="3"/>
        <v>5 anos e 1 mês</v>
      </c>
      <c r="I22" s="10" t="str">
        <f t="shared" si="4"/>
        <v>5 anos e 2 mêses</v>
      </c>
      <c r="J22" s="11" t="str">
        <f t="shared" si="5"/>
        <v>5 anos e 3 mêses</v>
      </c>
      <c r="K22" s="12" t="str">
        <f t="shared" si="6"/>
        <v>5 anos e 4 mêses</v>
      </c>
      <c r="L22" s="13" t="str">
        <f t="shared" si="7"/>
        <v>5 anos e 5 mêses</v>
      </c>
      <c r="M22" s="14" t="str">
        <f t="shared" si="8"/>
        <v>5 anos e 6 mêses</v>
      </c>
      <c r="N22" s="15" t="str">
        <f t="shared" si="9"/>
        <v>5 anos e 7 mêses</v>
      </c>
      <c r="O22" s="16" t="str">
        <f t="shared" si="10"/>
        <v>5 anos e 8 mêses</v>
      </c>
      <c r="P22" s="17" t="str">
        <f t="shared" si="11"/>
        <v>5 anos e 9 mêses</v>
      </c>
    </row>
    <row r="23" spans="1:16" ht="16.05" customHeight="1" x14ac:dyDescent="0.3">
      <c r="A23" s="18" t="s">
        <v>58</v>
      </c>
      <c r="B23" s="19" t="s">
        <v>59</v>
      </c>
      <c r="C23" s="20" t="s">
        <v>60</v>
      </c>
      <c r="D23" s="21">
        <v>46087</v>
      </c>
      <c r="E23" s="6" t="str">
        <f t="shared" si="0"/>
        <v/>
      </c>
      <c r="F23" s="7" t="str">
        <f t="shared" si="1"/>
        <v/>
      </c>
      <c r="G23" s="8" t="str">
        <f t="shared" si="2"/>
        <v/>
      </c>
      <c r="H23" s="9" t="str">
        <f t="shared" si="3"/>
        <v>0 anos</v>
      </c>
      <c r="I23" s="10" t="str">
        <f t="shared" si="4"/>
        <v>0 anos e 1 mês</v>
      </c>
      <c r="J23" s="11" t="str">
        <f t="shared" si="5"/>
        <v>0 anos e 2 mêses</v>
      </c>
      <c r="K23" s="12" t="str">
        <f t="shared" si="6"/>
        <v>0 anos e 3 mêses</v>
      </c>
      <c r="L23" s="13" t="str">
        <f t="shared" si="7"/>
        <v>0 anos e 4 mêses</v>
      </c>
      <c r="M23" s="14" t="str">
        <f t="shared" si="8"/>
        <v>0 anos e 5 mêses</v>
      </c>
      <c r="N23" s="15" t="str">
        <f t="shared" si="9"/>
        <v>0 anos e 6 mêses</v>
      </c>
      <c r="O23" s="16" t="str">
        <f t="shared" si="10"/>
        <v>0 anos e 7 mêses</v>
      </c>
      <c r="P23" s="17" t="str">
        <f t="shared" si="11"/>
        <v>0 anos e 8 mêses</v>
      </c>
    </row>
    <row r="24" spans="1:16" ht="16.05" customHeight="1" x14ac:dyDescent="0.3">
      <c r="A24" s="18" t="s">
        <v>61</v>
      </c>
      <c r="B24" s="19" t="s">
        <v>62</v>
      </c>
      <c r="C24" s="20" t="s">
        <v>39</v>
      </c>
      <c r="D24" s="21">
        <v>46134</v>
      </c>
      <c r="E24" s="6" t="str">
        <f t="shared" si="0"/>
        <v/>
      </c>
      <c r="F24" s="7" t="str">
        <f t="shared" si="1"/>
        <v/>
      </c>
      <c r="G24" s="8" t="str">
        <f t="shared" si="2"/>
        <v/>
      </c>
      <c r="H24" s="9" t="str">
        <f t="shared" si="3"/>
        <v/>
      </c>
      <c r="I24" s="10" t="str">
        <f t="shared" si="4"/>
        <v>0 anos</v>
      </c>
      <c r="J24" s="11" t="str">
        <f t="shared" si="5"/>
        <v>0 anos e 1 mês</v>
      </c>
      <c r="K24" s="12" t="str">
        <f t="shared" si="6"/>
        <v>0 anos e 2 mêses</v>
      </c>
      <c r="L24" s="13" t="str">
        <f t="shared" si="7"/>
        <v>0 anos e 3 mêses</v>
      </c>
      <c r="M24" s="14" t="str">
        <f t="shared" si="8"/>
        <v>0 anos e 4 mêses</v>
      </c>
      <c r="N24" s="15" t="str">
        <f t="shared" si="9"/>
        <v>0 anos e 5 mêses</v>
      </c>
      <c r="O24" s="16" t="str">
        <f t="shared" si="10"/>
        <v>0 anos e 6 mêses</v>
      </c>
      <c r="P24" s="17" t="str">
        <f t="shared" si="11"/>
        <v>0 anos e 7 mêses</v>
      </c>
    </row>
    <row r="25" spans="1:16" ht="16.05" customHeight="1" x14ac:dyDescent="0.3">
      <c r="A25" s="18" t="s">
        <v>63</v>
      </c>
      <c r="B25" s="19" t="s">
        <v>64</v>
      </c>
      <c r="C25" s="20" t="s">
        <v>60</v>
      </c>
      <c r="D25" s="21">
        <v>46134</v>
      </c>
      <c r="E25" s="6" t="str">
        <f t="shared" si="0"/>
        <v/>
      </c>
      <c r="F25" s="7" t="str">
        <f t="shared" si="1"/>
        <v/>
      </c>
      <c r="G25" s="8" t="str">
        <f t="shared" si="2"/>
        <v/>
      </c>
      <c r="H25" s="9" t="str">
        <f t="shared" si="3"/>
        <v/>
      </c>
      <c r="I25" s="10" t="str">
        <f t="shared" si="4"/>
        <v>0 anos</v>
      </c>
      <c r="J25" s="11" t="str">
        <f t="shared" si="5"/>
        <v>0 anos e 1 mês</v>
      </c>
      <c r="K25" s="12" t="str">
        <f t="shared" si="6"/>
        <v>0 anos e 2 mêses</v>
      </c>
      <c r="L25" s="13" t="str">
        <f t="shared" si="7"/>
        <v>0 anos e 3 mêses</v>
      </c>
      <c r="M25" s="14" t="str">
        <f t="shared" si="8"/>
        <v>0 anos e 4 mêses</v>
      </c>
      <c r="N25" s="15" t="str">
        <f t="shared" si="9"/>
        <v>0 anos e 5 mêses</v>
      </c>
      <c r="O25" s="16" t="str">
        <f t="shared" si="10"/>
        <v>0 anos e 6 mêses</v>
      </c>
      <c r="P25" s="17" t="str">
        <f t="shared" si="11"/>
        <v>0 anos e 7 mêses</v>
      </c>
    </row>
    <row r="26" spans="1:16" ht="16.05" customHeight="1" x14ac:dyDescent="0.3">
      <c r="A26" s="18" t="s">
        <v>65</v>
      </c>
      <c r="B26" s="19" t="s">
        <v>66</v>
      </c>
      <c r="C26" s="20" t="s">
        <v>55</v>
      </c>
      <c r="D26" s="21">
        <v>46134</v>
      </c>
      <c r="E26" s="6" t="str">
        <f t="shared" si="0"/>
        <v/>
      </c>
      <c r="F26" s="7" t="str">
        <f t="shared" si="1"/>
        <v/>
      </c>
      <c r="G26" s="8" t="str">
        <f t="shared" si="2"/>
        <v/>
      </c>
      <c r="H26" s="9" t="str">
        <f t="shared" si="3"/>
        <v/>
      </c>
      <c r="I26" s="10" t="str">
        <f t="shared" si="4"/>
        <v>0 anos</v>
      </c>
      <c r="J26" s="11" t="str">
        <f t="shared" si="5"/>
        <v>0 anos e 1 mês</v>
      </c>
      <c r="K26" s="12" t="str">
        <f t="shared" si="6"/>
        <v>0 anos e 2 mêses</v>
      </c>
      <c r="L26" s="13" t="str">
        <f t="shared" si="7"/>
        <v>0 anos e 3 mêses</v>
      </c>
      <c r="M26" s="14" t="str">
        <f t="shared" si="8"/>
        <v>0 anos e 4 mêses</v>
      </c>
      <c r="N26" s="15" t="str">
        <f t="shared" si="9"/>
        <v>0 anos e 5 mêses</v>
      </c>
      <c r="O26" s="16" t="str">
        <f t="shared" si="10"/>
        <v>0 anos e 6 mêses</v>
      </c>
      <c r="P26" s="17" t="str">
        <f t="shared" si="11"/>
        <v>0 anos e 7 mêses</v>
      </c>
    </row>
    <row r="27" spans="1:16" ht="16.05" customHeight="1" x14ac:dyDescent="0.3">
      <c r="A27" s="18" t="s">
        <v>67</v>
      </c>
      <c r="B27" s="19" t="s">
        <v>68</v>
      </c>
      <c r="C27" s="20" t="s">
        <v>69</v>
      </c>
      <c r="D27" s="21">
        <v>46191</v>
      </c>
      <c r="E27" s="6" t="str">
        <f t="shared" si="0"/>
        <v/>
      </c>
      <c r="F27" s="7" t="str">
        <f t="shared" si="1"/>
        <v/>
      </c>
      <c r="G27" s="8" t="str">
        <f t="shared" si="2"/>
        <v/>
      </c>
      <c r="H27" s="9" t="str">
        <f t="shared" si="3"/>
        <v/>
      </c>
      <c r="I27" s="10" t="str">
        <f t="shared" si="4"/>
        <v/>
      </c>
      <c r="J27" s="11" t="str">
        <f t="shared" si="5"/>
        <v/>
      </c>
      <c r="K27" s="12" t="str">
        <f t="shared" si="6"/>
        <v>0 anos</v>
      </c>
      <c r="L27" s="13" t="str">
        <f t="shared" si="7"/>
        <v>0 anos e 1 mês</v>
      </c>
      <c r="M27" s="14" t="str">
        <f t="shared" si="8"/>
        <v>0 anos e 2 mêses</v>
      </c>
      <c r="N27" s="15" t="str">
        <f t="shared" si="9"/>
        <v>0 anos e 3 mêses</v>
      </c>
      <c r="O27" s="16" t="str">
        <f t="shared" si="10"/>
        <v>0 anos e 4 mêses</v>
      </c>
      <c r="P27" s="17" t="str">
        <f t="shared" si="11"/>
        <v>0 anos e 5 mêses</v>
      </c>
    </row>
    <row r="28" spans="1:16" ht="16.05" customHeight="1" x14ac:dyDescent="0.3">
      <c r="A28" s="22"/>
      <c r="B28" s="19"/>
      <c r="C28" s="20"/>
      <c r="D28" s="21"/>
      <c r="E28" s="6" t="str">
        <f t="shared" si="0"/>
        <v/>
      </c>
      <c r="F28" s="7" t="str">
        <f t="shared" si="1"/>
        <v/>
      </c>
      <c r="G28" s="8" t="str">
        <f t="shared" si="2"/>
        <v/>
      </c>
      <c r="H28" s="9" t="str">
        <f t="shared" si="3"/>
        <v/>
      </c>
      <c r="I28" s="10" t="str">
        <f t="shared" si="4"/>
        <v/>
      </c>
      <c r="J28" s="11" t="str">
        <f t="shared" si="5"/>
        <v/>
      </c>
      <c r="K28" s="12" t="str">
        <f t="shared" si="6"/>
        <v/>
      </c>
      <c r="L28" s="13" t="str">
        <f t="shared" si="7"/>
        <v/>
      </c>
      <c r="M28" s="14" t="str">
        <f t="shared" si="8"/>
        <v/>
      </c>
      <c r="N28" s="15" t="str">
        <f t="shared" si="9"/>
        <v/>
      </c>
      <c r="O28" s="16" t="str">
        <f t="shared" si="10"/>
        <v/>
      </c>
      <c r="P28" s="17" t="str">
        <f t="shared" si="11"/>
        <v/>
      </c>
    </row>
    <row r="29" spans="1:16" ht="16.05" customHeight="1" x14ac:dyDescent="0.3">
      <c r="A29" s="22"/>
      <c r="B29" s="19"/>
      <c r="C29" s="20"/>
      <c r="D29" s="21"/>
      <c r="E29" s="6" t="str">
        <f t="shared" si="0"/>
        <v/>
      </c>
      <c r="F29" s="7" t="str">
        <f t="shared" si="1"/>
        <v/>
      </c>
      <c r="G29" s="8" t="str">
        <f t="shared" si="2"/>
        <v/>
      </c>
      <c r="H29" s="9" t="str">
        <f t="shared" si="3"/>
        <v/>
      </c>
      <c r="I29" s="10" t="str">
        <f t="shared" si="4"/>
        <v/>
      </c>
      <c r="J29" s="11" t="str">
        <f t="shared" si="5"/>
        <v/>
      </c>
      <c r="K29" s="12" t="str">
        <f t="shared" si="6"/>
        <v/>
      </c>
      <c r="L29" s="13" t="str">
        <f t="shared" si="7"/>
        <v/>
      </c>
      <c r="M29" s="14" t="str">
        <f t="shared" si="8"/>
        <v/>
      </c>
      <c r="N29" s="15" t="str">
        <f t="shared" si="9"/>
        <v/>
      </c>
      <c r="O29" s="16" t="str">
        <f t="shared" si="10"/>
        <v/>
      </c>
      <c r="P29" s="17" t="str">
        <f t="shared" si="11"/>
        <v/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2026-06-29T14:05:43Z</dcterms:created>
  <dcterms:modified xsi:type="dcterms:W3CDTF">2026-06-29T14:59:28Z</dcterms:modified>
</cp:coreProperties>
</file>